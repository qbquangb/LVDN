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hoadv3\Downloads\"/>
    </mc:Choice>
  </mc:AlternateContent>
  <xr:revisionPtr revIDLastSave="0" documentId="13_ncr:1_{DF321E40-25C9-4D5C-AD9C-E111A4977DE1}" xr6:coauthVersionLast="47" xr6:coauthVersionMax="47" xr10:uidLastSave="{00000000-0000-0000-0000-000000000000}"/>
  <bookViews>
    <workbookView xWindow="-23148" yWindow="-108" windowWidth="23256" windowHeight="12456" xr2:uid="{3FC7B13D-3AFD-4AD2-AEA5-CAD51E5E28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" i="1" l="1"/>
  <c r="I22" i="1"/>
  <c r="I20" i="1"/>
  <c r="I18" i="1"/>
  <c r="I17" i="1"/>
  <c r="I16" i="1"/>
  <c r="I15" i="1"/>
  <c r="I14" i="1"/>
  <c r="I13" i="1"/>
  <c r="I12" i="1"/>
  <c r="I11" i="1"/>
  <c r="I10" i="1"/>
  <c r="I23" i="1"/>
  <c r="I21" i="1"/>
  <c r="I19" i="1"/>
  <c r="I29" i="1"/>
  <c r="I27" i="1"/>
  <c r="I9" i="1"/>
  <c r="I8" i="1"/>
  <c r="I7" i="1"/>
  <c r="I6" i="1"/>
  <c r="I58" i="1"/>
  <c r="I59" i="1"/>
  <c r="I57" i="1"/>
  <c r="I56" i="1"/>
  <c r="I40" i="1"/>
  <c r="I39" i="1"/>
  <c r="I38" i="1"/>
  <c r="I37" i="1"/>
  <c r="I36" i="1"/>
  <c r="I35" i="1"/>
  <c r="I34" i="1"/>
  <c r="I33" i="1"/>
  <c r="I91" i="1"/>
  <c r="I90" i="1"/>
  <c r="I96" i="1"/>
  <c r="I97" i="1"/>
  <c r="I67" i="1"/>
  <c r="I66" i="1"/>
  <c r="I68" i="1"/>
  <c r="I69" i="1"/>
  <c r="I42" i="1"/>
  <c r="I44" i="1"/>
  <c r="I43" i="1"/>
  <c r="I48" i="1"/>
  <c r="I49" i="1"/>
  <c r="I46" i="1"/>
  <c r="I45" i="1"/>
  <c r="I47" i="1"/>
  <c r="I41" i="1"/>
  <c r="I5" i="1"/>
  <c r="I95" i="1"/>
  <c r="I94" i="1"/>
  <c r="I93" i="1"/>
  <c r="I92" i="1"/>
  <c r="I87" i="1"/>
  <c r="I86" i="1"/>
  <c r="I85" i="1"/>
  <c r="I84" i="1"/>
  <c r="I83" i="1"/>
  <c r="I82" i="1"/>
  <c r="I81" i="1"/>
  <c r="I80" i="1"/>
  <c r="I88" i="1"/>
  <c r="H81" i="1"/>
  <c r="H82" i="1"/>
  <c r="H83" i="1"/>
  <c r="H84" i="1"/>
  <c r="H85" i="1"/>
  <c r="H86" i="1"/>
  <c r="H87" i="1"/>
  <c r="H88" i="1"/>
  <c r="H80" i="1"/>
  <c r="F81" i="1"/>
  <c r="F82" i="1"/>
  <c r="F83" i="1"/>
  <c r="F84" i="1"/>
  <c r="F85" i="1"/>
  <c r="F86" i="1"/>
  <c r="F87" i="1"/>
  <c r="F88" i="1"/>
  <c r="F80" i="1"/>
  <c r="I79" i="1"/>
  <c r="I78" i="1"/>
  <c r="I76" i="1"/>
  <c r="I75" i="1"/>
  <c r="I74" i="1"/>
  <c r="I73" i="1"/>
  <c r="I72" i="1"/>
  <c r="I71" i="1"/>
  <c r="I70" i="1"/>
  <c r="H79" i="1"/>
  <c r="H78" i="1"/>
  <c r="H77" i="1"/>
  <c r="H76" i="1"/>
  <c r="H75" i="1"/>
  <c r="H74" i="1"/>
  <c r="H73" i="1"/>
  <c r="H72" i="1"/>
  <c r="H71" i="1"/>
  <c r="H70" i="1"/>
  <c r="I65" i="1"/>
  <c r="I64" i="1"/>
  <c r="I62" i="1"/>
  <c r="I63" i="1"/>
  <c r="I61" i="1"/>
  <c r="I60" i="1"/>
  <c r="I4" i="1"/>
  <c r="F71" i="1"/>
  <c r="F72" i="1"/>
  <c r="F73" i="1"/>
  <c r="F74" i="1"/>
  <c r="F75" i="1"/>
  <c r="F76" i="1"/>
  <c r="F77" i="1"/>
  <c r="F78" i="1"/>
  <c r="F79" i="1"/>
  <c r="F70" i="1"/>
  <c r="F91" i="1"/>
  <c r="F92" i="1"/>
  <c r="F93" i="1"/>
  <c r="F94" i="1"/>
  <c r="F95" i="1"/>
  <c r="F96" i="1"/>
  <c r="F97" i="1"/>
  <c r="F9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E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E18" i="1"/>
  <c r="F17" i="1"/>
  <c r="F16" i="1"/>
  <c r="F15" i="1"/>
  <c r="E14" i="1"/>
  <c r="F13" i="1"/>
  <c r="F12" i="1"/>
  <c r="F11" i="1"/>
  <c r="F10" i="1"/>
  <c r="F9" i="1"/>
  <c r="F8" i="1"/>
  <c r="F7" i="1"/>
  <c r="F6" i="1"/>
  <c r="F5" i="1"/>
  <c r="F4" i="1"/>
  <c r="E3" i="1"/>
  <c r="I77" i="1" l="1"/>
  <c r="I3" i="1"/>
  <c r="I50" i="1"/>
  <c r="I55" i="1"/>
  <c r="I54" i="1"/>
  <c r="I53" i="1"/>
  <c r="I52" i="1"/>
  <c r="I51" i="1"/>
  <c r="F40" i="1"/>
  <c r="I32" i="1"/>
  <c r="I31" i="1"/>
  <c r="I30" i="1"/>
  <c r="I28" i="1"/>
  <c r="I26" i="1"/>
  <c r="I25" i="1"/>
  <c r="F18" i="1"/>
  <c r="F14" i="1"/>
  <c r="F3" i="1"/>
</calcChain>
</file>

<file path=xl/sharedStrings.xml><?xml version="1.0" encoding="utf-8"?>
<sst xmlns="http://schemas.openxmlformats.org/spreadsheetml/2006/main" count="230" uniqueCount="151">
  <si>
    <t>STT</t>
  </si>
  <si>
    <t xml:space="preserve">Căn </t>
  </si>
  <si>
    <t>ĐLHV-232</t>
  </si>
  <si>
    <t>Chênh cao</t>
  </si>
  <si>
    <t>Hướng xử lý</t>
  </si>
  <si>
    <t>ĐLHV-230</t>
  </si>
  <si>
    <t>ĐLHV-228</t>
  </si>
  <si>
    <t>Coste vỉa hè trung bình vị trí lối ra vào</t>
  </si>
  <si>
    <t>ĐLHV-226</t>
  </si>
  <si>
    <t>ĐLHV-224</t>
  </si>
  <si>
    <t>Làm 3 bậc cấp</t>
  </si>
  <si>
    <t>Làm 2 bậc cấp</t>
  </si>
  <si>
    <t>ĐLHV-222</t>
  </si>
  <si>
    <t>ĐLHV-220</t>
  </si>
  <si>
    <t>ĐLHV-218</t>
  </si>
  <si>
    <t>ĐLHV-216</t>
  </si>
  <si>
    <t>ĐLHV-214</t>
  </si>
  <si>
    <t>ĐLHV-212</t>
  </si>
  <si>
    <t>ĐLHV-210</t>
  </si>
  <si>
    <t>ĐLHV-208</t>
  </si>
  <si>
    <t>Chiều cao 1 bậc</t>
  </si>
  <si>
    <t>ĐLHV-206</t>
  </si>
  <si>
    <t>ĐLHV-204</t>
  </si>
  <si>
    <t>ĐLHV-202</t>
  </si>
  <si>
    <t>ĐLHV-200</t>
  </si>
  <si>
    <t>ĐLHV-198</t>
  </si>
  <si>
    <t>ĐLHV-196</t>
  </si>
  <si>
    <t>ĐLHV-194</t>
  </si>
  <si>
    <t>ĐLHV-192</t>
  </si>
  <si>
    <t>ĐLHV-190</t>
  </si>
  <si>
    <t>ĐLHV-188</t>
  </si>
  <si>
    <t>ĐLHV-186</t>
  </si>
  <si>
    <t>ĐLHV-184</t>
  </si>
  <si>
    <t>ĐLHV-182</t>
  </si>
  <si>
    <t>ĐLHV-180</t>
  </si>
  <si>
    <t>ĐLHV-178</t>
  </si>
  <si>
    <t>ĐLHV-176</t>
  </si>
  <si>
    <t>Nguyễn Nam Sơn</t>
  </si>
  <si>
    <t>Kiến trúc cảnh quan hạ tầng</t>
  </si>
  <si>
    <t>Giao thông san nền hạ tầng</t>
  </si>
  <si>
    <t>Nguyễn Trọng Thắng, Quách Hoàng Việt</t>
  </si>
  <si>
    <t>Kết cấu hạ tầng</t>
  </si>
  <si>
    <t>Nguyễn Như Tuấn</t>
  </si>
  <si>
    <t>CTN hạ tầng</t>
  </si>
  <si>
    <t>Nguyễn Quang Tuấn</t>
  </si>
  <si>
    <t>Điện Hạ tầng</t>
  </si>
  <si>
    <t>Nguyễn Văn Hải</t>
  </si>
  <si>
    <t>Kiến trúc mặt ngoài thấp tầng</t>
  </si>
  <si>
    <t>Đồng Văn Khoa</t>
  </si>
  <si>
    <t>Kết cấu thấp tầng</t>
  </si>
  <si>
    <t>Phan Xuân Hào</t>
  </si>
  <si>
    <t>Cấp thoát nước thấp tầng</t>
  </si>
  <si>
    <t>Phạm Đức Mạnh</t>
  </si>
  <si>
    <t>Trần Mạnh Linh</t>
  </si>
  <si>
    <t>Kiến trúc nội thất thấp tầng</t>
  </si>
  <si>
    <t>Kiến trúc CQ thấp tầng</t>
  </si>
  <si>
    <t>ĐLHV-174</t>
  </si>
  <si>
    <t>ĐLHV-172</t>
  </si>
  <si>
    <t>ĐLHV-170</t>
  </si>
  <si>
    <t>ĐLHV-168</t>
  </si>
  <si>
    <t>ĐLHV-166</t>
  </si>
  <si>
    <t>ĐLHV-164</t>
  </si>
  <si>
    <t>ĐLHV-162</t>
  </si>
  <si>
    <t>ĐLHV-158</t>
  </si>
  <si>
    <t>ĐLHV-160</t>
  </si>
  <si>
    <t>ĐLHV-156</t>
  </si>
  <si>
    <t>ĐLHV-154</t>
  </si>
  <si>
    <t>ĐLHV-152</t>
  </si>
  <si>
    <t>ĐLHV-150</t>
  </si>
  <si>
    <t>ĐLHV-148</t>
  </si>
  <si>
    <t>ĐLHV-146</t>
  </si>
  <si>
    <t>ĐLHV-144</t>
  </si>
  <si>
    <t>ĐLHV-142</t>
  </si>
  <si>
    <t>ĐLHV-140</t>
  </si>
  <si>
    <t>ĐLHV-138</t>
  </si>
  <si>
    <t>ĐLHV-136</t>
  </si>
  <si>
    <t>ĐLHV-134</t>
  </si>
  <si>
    <t>ĐLHV-132</t>
  </si>
  <si>
    <t>ĐLHV-130</t>
  </si>
  <si>
    <t>ĐLHV-128</t>
  </si>
  <si>
    <t>ĐLHV-126</t>
  </si>
  <si>
    <t>ĐLHV-124</t>
  </si>
  <si>
    <t>ĐLHV-122</t>
  </si>
  <si>
    <t>ĐLHV-120</t>
  </si>
  <si>
    <t>ĐLHV-118</t>
  </si>
  <si>
    <t>ĐLHV-116</t>
  </si>
  <si>
    <t>ĐLHV-114</t>
  </si>
  <si>
    <t>ĐLHV-112</t>
  </si>
  <si>
    <t>ĐLHV-110</t>
  </si>
  <si>
    <t>ĐLHV-108</t>
  </si>
  <si>
    <t>ĐLHV-106</t>
  </si>
  <si>
    <t>ĐLHV-104</t>
  </si>
  <si>
    <t>ĐLHV-102</t>
  </si>
  <si>
    <t>ĐLHV-100</t>
  </si>
  <si>
    <t>Coste 0.00 21.35, nâng 10cm</t>
  </si>
  <si>
    <t>Coste 0.00 20.75, nâng 10cm</t>
  </si>
  <si>
    <t>Làm 1 bậc cấp</t>
  </si>
  <si>
    <t>Lô 36,37,101, 102,110 chuẩn bị</t>
  </si>
  <si>
    <t>Dãy</t>
  </si>
  <si>
    <t>CH60-LKA1.118A</t>
  </si>
  <si>
    <t>CH60-LKA1.117A</t>
  </si>
  <si>
    <t>CH60-LKA1.116A</t>
  </si>
  <si>
    <t>CH60-LKA1.115A</t>
  </si>
  <si>
    <t>CH60-LKA1.114</t>
  </si>
  <si>
    <t>CH60-LKA1.113</t>
  </si>
  <si>
    <t>CH60-LKA1.112</t>
  </si>
  <si>
    <t>CH60-LKA1.111</t>
  </si>
  <si>
    <t>ĐLHV-38</t>
  </si>
  <si>
    <t>ĐLHV-36</t>
  </si>
  <si>
    <t>ĐLHV-34</t>
  </si>
  <si>
    <t>ĐLHV-32</t>
  </si>
  <si>
    <t>ĐLHV-30</t>
  </si>
  <si>
    <t>ĐLHV-28</t>
  </si>
  <si>
    <t>ĐLHV-26</t>
  </si>
  <si>
    <t>ĐLHV-24</t>
  </si>
  <si>
    <t>ĐLHV-22</t>
  </si>
  <si>
    <t>ĐLHV-20</t>
  </si>
  <si>
    <t>CH60-LKA1.36B</t>
  </si>
  <si>
    <t>CH60-LKA1.37B</t>
  </si>
  <si>
    <t>ĐLHV-40</t>
  </si>
  <si>
    <t>ĐLHV-42</t>
  </si>
  <si>
    <t>ĐLHV-44</t>
  </si>
  <si>
    <t>ĐLHV-46</t>
  </si>
  <si>
    <t>ĐLHV-48</t>
  </si>
  <si>
    <t>ĐLHV-50</t>
  </si>
  <si>
    <t>ĐLHV-52</t>
  </si>
  <si>
    <t>ĐLHV-54</t>
  </si>
  <si>
    <t>ĐLHV-56</t>
  </si>
  <si>
    <t>ĐLHV-58</t>
  </si>
  <si>
    <t>CH60-LKA1.31A</t>
  </si>
  <si>
    <t>ĐLHV-33</t>
  </si>
  <si>
    <t>ĐLHV-35</t>
  </si>
  <si>
    <t>ĐLHV-37</t>
  </si>
  <si>
    <t>ĐLHV-39</t>
  </si>
  <si>
    <t>ĐLHV-41</t>
  </si>
  <si>
    <t>ĐLHV-43</t>
  </si>
  <si>
    <t>ĐLHV-45</t>
  </si>
  <si>
    <t>ĐLHV-47</t>
  </si>
  <si>
    <t>Coste 0.00 27.800, nâng 10cm</t>
  </si>
  <si>
    <t>Coste 0.00 28.350, nâng 10cm</t>
  </si>
  <si>
    <t>Coste 0.00 28.950, nâng 10cm</t>
  </si>
  <si>
    <t>Coste 0.00 29.500, nâng 10cm</t>
  </si>
  <si>
    <t>Coste 0.00 30.050, nâng 10cm</t>
  </si>
  <si>
    <t>Coste 0.00 theo TK</t>
  </si>
  <si>
    <t>Coste 0.00 điều chỉnh</t>
  </si>
  <si>
    <t>Coste 0.00 26.950, nâng 10cm</t>
  </si>
  <si>
    <t>Coste 0.00 26.350, nâng 10cm</t>
  </si>
  <si>
    <t>Coste 0.00 25.800, nâng 10cm</t>
  </si>
  <si>
    <t>Coste 0.00 25.200, nâng 10cm</t>
  </si>
  <si>
    <t>Coste 0.00 24.650, nâng 10cm</t>
  </si>
  <si>
    <t>Làm 1-2 bậc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</si>
</sst>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8"/>
      <name val="Aptos Narrow"/>
      <family val="2"/>
      <charset val="163"/>
      <scheme val="minor"/>
    </font>
    <font>
      <sz val="11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/>
    <xf numFmtId="164" fontId="1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/>
    <xf numFmtId="164" fontId="3" fillId="3" borderId="1" xfId="0" applyNumberFormat="1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/>
    <xf numFmtId="164" fontId="6" fillId="2" borderId="1" xfId="0" applyNumberFormat="1" applyFont="1" applyFill="1" applyBorder="1"/>
    <xf numFmtId="164" fontId="6" fillId="4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89B5-DE18-4189-871B-5FB2CB662C88}">
  <dimension ref="A2:L97"/>
  <sheetViews>
    <sheetView tabSelected="1" zoomScale="130" zoomScaleNormal="130" workbookViewId="0">
      <pane ySplit="2" topLeftCell="A3" activePane="bottomLeft" state="frozen"/>
      <selection pane="bottomLeft" activeCell="G8" sqref="G8"/>
    </sheetView>
  </sheetViews>
  <sheetFormatPr defaultColWidth="9.125" defaultRowHeight="15"/>
  <cols>
    <col min="1" max="1" width="6" style="2" customWidth="1"/>
    <col min="2" max="2" width="18.375" style="2" customWidth="1"/>
    <col min="3" max="3" width="12.75" style="2" customWidth="1"/>
    <col min="4" max="4" width="13.125" style="2" customWidth="1"/>
    <col min="5" max="5" width="14" style="1" customWidth="1"/>
    <col min="6" max="6" width="12.75" style="1" customWidth="1"/>
    <col min="7" max="7" width="28.25" style="1" customWidth="1"/>
    <col min="8" max="8" width="11.875" style="1" customWidth="1"/>
    <col min="9" max="9" width="14.375" style="1" customWidth="1"/>
    <col min="10" max="16384" width="9.125" style="1"/>
  </cols>
  <sheetData>
    <row r="2" spans="1:12" s="3" customFormat="1" ht="42.75">
      <c r="A2" s="4" t="s">
        <v>0</v>
      </c>
      <c r="B2" s="4" t="s">
        <v>98</v>
      </c>
      <c r="C2" s="4" t="s">
        <v>1</v>
      </c>
      <c r="D2" s="5" t="s">
        <v>143</v>
      </c>
      <c r="E2" s="5" t="s">
        <v>7</v>
      </c>
      <c r="F2" s="5" t="s">
        <v>3</v>
      </c>
      <c r="G2" s="4" t="s">
        <v>4</v>
      </c>
      <c r="H2" s="5" t="s">
        <v>144</v>
      </c>
      <c r="I2" s="5" t="s">
        <v>20</v>
      </c>
    </row>
    <row r="3" spans="1:12" s="6" customFormat="1">
      <c r="A3" s="14">
        <v>1</v>
      </c>
      <c r="B3" s="36" t="s">
        <v>99</v>
      </c>
      <c r="C3" s="14" t="s">
        <v>2</v>
      </c>
      <c r="D3" s="15">
        <v>9.8000000000000007</v>
      </c>
      <c r="E3" s="15">
        <f>0.5*(9.006+8.542)</f>
        <v>8.7740000000000009</v>
      </c>
      <c r="F3" s="15">
        <f t="shared" ref="F3:F34" si="0">D3-E3</f>
        <v>1.0259999999999998</v>
      </c>
      <c r="G3" s="62" t="s">
        <v>10</v>
      </c>
      <c r="H3" s="58">
        <v>9.1999999999999993</v>
      </c>
      <c r="I3" s="58">
        <f>(H3-E3)/3</f>
        <v>0.14199999999999946</v>
      </c>
    </row>
    <row r="4" spans="1:12" s="6" customFormat="1">
      <c r="A4" s="14">
        <v>2</v>
      </c>
      <c r="B4" s="37"/>
      <c r="C4" s="14" t="s">
        <v>5</v>
      </c>
      <c r="D4" s="15">
        <v>10.55</v>
      </c>
      <c r="E4" s="15">
        <v>9.7469999999999999</v>
      </c>
      <c r="F4" s="15">
        <f t="shared" si="0"/>
        <v>0.80300000000000082</v>
      </c>
      <c r="G4" s="62" t="s">
        <v>10</v>
      </c>
      <c r="H4" s="58">
        <v>10.3</v>
      </c>
      <c r="I4" s="58">
        <f>(H4-E4)/3</f>
        <v>0.1843333333333336</v>
      </c>
    </row>
    <row r="5" spans="1:12">
      <c r="A5" s="9">
        <v>3</v>
      </c>
      <c r="B5" s="37"/>
      <c r="C5" s="9" t="s">
        <v>6</v>
      </c>
      <c r="D5" s="11">
        <v>10.55</v>
      </c>
      <c r="E5" s="11">
        <v>10.138</v>
      </c>
      <c r="F5" s="11">
        <f t="shared" si="0"/>
        <v>0.41200000000000081</v>
      </c>
      <c r="G5" s="59" t="s">
        <v>96</v>
      </c>
      <c r="H5" s="58">
        <v>10.3</v>
      </c>
      <c r="I5" s="58">
        <f>(H5-E5)/1</f>
        <v>0.16200000000000081</v>
      </c>
    </row>
    <row r="6" spans="1:12">
      <c r="A6" s="9">
        <v>4</v>
      </c>
      <c r="B6" s="37"/>
      <c r="C6" s="9" t="s">
        <v>8</v>
      </c>
      <c r="D6" s="11">
        <v>11.1</v>
      </c>
      <c r="E6" s="11">
        <v>10.484999999999999</v>
      </c>
      <c r="F6" s="11">
        <f t="shared" si="0"/>
        <v>0.61500000000000021</v>
      </c>
      <c r="G6" s="62" t="s">
        <v>10</v>
      </c>
      <c r="H6" s="58">
        <v>10.95</v>
      </c>
      <c r="I6" s="58">
        <f>(H6-E6)/3</f>
        <v>0.15499999999999994</v>
      </c>
    </row>
    <row r="7" spans="1:12">
      <c r="A7" s="9">
        <v>5</v>
      </c>
      <c r="B7" s="37"/>
      <c r="C7" s="9" t="s">
        <v>9</v>
      </c>
      <c r="D7" s="11">
        <v>11.1</v>
      </c>
      <c r="E7" s="11">
        <v>10.797000000000001</v>
      </c>
      <c r="F7" s="11">
        <f t="shared" si="0"/>
        <v>0.30299999999999905</v>
      </c>
      <c r="G7" s="62" t="s">
        <v>96</v>
      </c>
      <c r="H7" s="58">
        <v>10.95</v>
      </c>
      <c r="I7" s="58">
        <f>(H7-E7)/1</f>
        <v>0.15299999999999869</v>
      </c>
    </row>
    <row r="8" spans="1:12">
      <c r="A8" s="9">
        <v>6</v>
      </c>
      <c r="B8" s="37"/>
      <c r="C8" s="9" t="s">
        <v>12</v>
      </c>
      <c r="D8" s="11">
        <v>11.65</v>
      </c>
      <c r="E8" s="11">
        <v>11.105</v>
      </c>
      <c r="F8" s="11">
        <f t="shared" si="0"/>
        <v>0.54499999999999993</v>
      </c>
      <c r="G8" s="17" t="s">
        <v>10</v>
      </c>
      <c r="H8" s="58">
        <v>11.6</v>
      </c>
      <c r="I8" s="58">
        <f>(H8-E8)/3</f>
        <v>0.16499999999999973</v>
      </c>
    </row>
    <row r="9" spans="1:12">
      <c r="A9" s="9">
        <v>7</v>
      </c>
      <c r="B9" s="38"/>
      <c r="C9" s="9" t="s">
        <v>13</v>
      </c>
      <c r="D9" s="11">
        <v>11.65</v>
      </c>
      <c r="E9" s="11">
        <v>11.403</v>
      </c>
      <c r="F9" s="11">
        <f t="shared" si="0"/>
        <v>0.24699999999999989</v>
      </c>
      <c r="G9" s="16" t="s">
        <v>11</v>
      </c>
      <c r="H9" s="58">
        <v>11.6</v>
      </c>
      <c r="I9" s="58">
        <f>(H9-E9)/1</f>
        <v>0.19699999999999918</v>
      </c>
    </row>
    <row r="10" spans="1:12">
      <c r="A10" s="18">
        <v>8</v>
      </c>
      <c r="B10" s="39" t="s">
        <v>100</v>
      </c>
      <c r="C10" s="18" t="s">
        <v>14</v>
      </c>
      <c r="D10" s="19">
        <v>12.5</v>
      </c>
      <c r="E10" s="19">
        <v>11.952999999999999</v>
      </c>
      <c r="F10" s="19">
        <f t="shared" si="0"/>
        <v>0.5470000000000006</v>
      </c>
      <c r="G10" s="61" t="s">
        <v>10</v>
      </c>
      <c r="H10" s="60">
        <v>12.45</v>
      </c>
      <c r="I10" s="60">
        <f>(H10-E10)/3</f>
        <v>0.16566666666666663</v>
      </c>
    </row>
    <row r="11" spans="1:12">
      <c r="A11" s="18">
        <v>9</v>
      </c>
      <c r="B11" s="40"/>
      <c r="C11" s="18" t="s">
        <v>15</v>
      </c>
      <c r="D11" s="19">
        <v>12.5</v>
      </c>
      <c r="E11" s="19">
        <v>12.209</v>
      </c>
      <c r="F11" s="19">
        <f t="shared" si="0"/>
        <v>0.29100000000000037</v>
      </c>
      <c r="G11" s="64" t="s">
        <v>150</v>
      </c>
      <c r="H11" s="60">
        <v>12.45</v>
      </c>
      <c r="I11" s="60">
        <f>(H11-E11)/2</f>
        <v>0.12049999999999983</v>
      </c>
    </row>
    <row r="12" spans="1:12">
      <c r="A12" s="18">
        <v>10</v>
      </c>
      <c r="B12" s="40"/>
      <c r="C12" s="18" t="s">
        <v>16</v>
      </c>
      <c r="D12" s="19">
        <v>13.15</v>
      </c>
      <c r="E12" s="19">
        <v>12.507</v>
      </c>
      <c r="F12" s="19">
        <f t="shared" si="0"/>
        <v>0.64300000000000068</v>
      </c>
      <c r="G12" s="61" t="s">
        <v>10</v>
      </c>
      <c r="H12" s="60">
        <v>13</v>
      </c>
      <c r="I12" s="60">
        <f>(H12-E12)/3</f>
        <v>0.16433333333333344</v>
      </c>
    </row>
    <row r="13" spans="1:12">
      <c r="A13" s="18">
        <v>11</v>
      </c>
      <c r="B13" s="40"/>
      <c r="C13" s="18" t="s">
        <v>17</v>
      </c>
      <c r="D13" s="19">
        <v>13.15</v>
      </c>
      <c r="E13" s="19">
        <v>12.765000000000001</v>
      </c>
      <c r="F13" s="19">
        <f t="shared" si="0"/>
        <v>0.38499999999999979</v>
      </c>
      <c r="G13" s="64" t="s">
        <v>150</v>
      </c>
      <c r="H13" s="60">
        <v>13</v>
      </c>
      <c r="I13" s="60">
        <f>(H13-E13)/2</f>
        <v>0.11749999999999972</v>
      </c>
      <c r="L13" s="1" t="s">
        <v>97</v>
      </c>
    </row>
    <row r="14" spans="1:12" s="7" customFormat="1">
      <c r="A14" s="22">
        <v>12</v>
      </c>
      <c r="B14" s="40"/>
      <c r="C14" s="22" t="s">
        <v>18</v>
      </c>
      <c r="D14" s="23">
        <v>13.8</v>
      </c>
      <c r="E14" s="23">
        <f>0.5*(13.152+13.027)</f>
        <v>13.089499999999999</v>
      </c>
      <c r="F14" s="23">
        <f t="shared" si="0"/>
        <v>0.71050000000000146</v>
      </c>
      <c r="G14" s="61" t="s">
        <v>10</v>
      </c>
      <c r="H14" s="60">
        <v>13.6</v>
      </c>
      <c r="I14" s="60">
        <f>(H14-E14)/3</f>
        <v>0.1701666666666668</v>
      </c>
      <c r="L14" s="1"/>
    </row>
    <row r="15" spans="1:12" s="7" customFormat="1">
      <c r="A15" s="22">
        <v>13</v>
      </c>
      <c r="B15" s="40"/>
      <c r="C15" s="22" t="s">
        <v>19</v>
      </c>
      <c r="D15" s="23">
        <v>13.8</v>
      </c>
      <c r="E15" s="23">
        <v>13.342000000000001</v>
      </c>
      <c r="F15" s="23">
        <f t="shared" si="0"/>
        <v>0.45800000000000018</v>
      </c>
      <c r="G15" s="64" t="s">
        <v>150</v>
      </c>
      <c r="H15" s="60">
        <v>13.6</v>
      </c>
      <c r="I15" s="60">
        <f>(H15-E15)/2</f>
        <v>0.12899999999999956</v>
      </c>
    </row>
    <row r="16" spans="1:12" s="7" customFormat="1">
      <c r="A16" s="22">
        <v>14</v>
      </c>
      <c r="B16" s="40"/>
      <c r="C16" s="22" t="s">
        <v>21</v>
      </c>
      <c r="D16" s="23">
        <v>14.4</v>
      </c>
      <c r="E16" s="23">
        <v>13.670999999999999</v>
      </c>
      <c r="F16" s="23">
        <f t="shared" si="0"/>
        <v>0.72900000000000098</v>
      </c>
      <c r="G16" s="61" t="s">
        <v>10</v>
      </c>
      <c r="H16" s="60">
        <v>14.25</v>
      </c>
      <c r="I16" s="60">
        <f>(H16-E16)/3</f>
        <v>0.1930000000000002</v>
      </c>
    </row>
    <row r="17" spans="1:9" s="7" customFormat="1">
      <c r="A17" s="22">
        <v>15</v>
      </c>
      <c r="B17" s="40"/>
      <c r="C17" s="22" t="s">
        <v>22</v>
      </c>
      <c r="D17" s="23">
        <v>14.4</v>
      </c>
      <c r="E17" s="23">
        <v>14.023999999999999</v>
      </c>
      <c r="F17" s="23">
        <f t="shared" si="0"/>
        <v>0.37600000000000122</v>
      </c>
      <c r="G17" s="64" t="s">
        <v>150</v>
      </c>
      <c r="H17" s="60">
        <v>14.25</v>
      </c>
      <c r="I17" s="60">
        <f>(H17-E17)/2</f>
        <v>0.11300000000000043</v>
      </c>
    </row>
    <row r="18" spans="1:9">
      <c r="A18" s="18">
        <v>16</v>
      </c>
      <c r="B18" s="41"/>
      <c r="C18" s="18" t="s">
        <v>23</v>
      </c>
      <c r="D18" s="19">
        <v>14.9</v>
      </c>
      <c r="E18" s="19">
        <f>0.5*(14.376+14.209)</f>
        <v>14.2925</v>
      </c>
      <c r="F18" s="19">
        <f t="shared" si="0"/>
        <v>0.60749999999999993</v>
      </c>
      <c r="G18" s="20" t="s">
        <v>10</v>
      </c>
      <c r="H18" s="60">
        <v>14.75</v>
      </c>
      <c r="I18" s="60">
        <f>(H18-E18)/3</f>
        <v>0.15249999999999986</v>
      </c>
    </row>
    <row r="19" spans="1:9">
      <c r="A19" s="9">
        <v>17</v>
      </c>
      <c r="B19" s="42" t="s">
        <v>101</v>
      </c>
      <c r="C19" s="9" t="s">
        <v>24</v>
      </c>
      <c r="D19" s="11">
        <v>15.5</v>
      </c>
      <c r="E19" s="11">
        <v>14.872999999999999</v>
      </c>
      <c r="F19" s="11">
        <f t="shared" si="0"/>
        <v>0.62700000000000067</v>
      </c>
      <c r="G19" s="62" t="s">
        <v>10</v>
      </c>
      <c r="H19" s="58">
        <v>15.45</v>
      </c>
      <c r="I19" s="58">
        <f>(H19-E19)/3</f>
        <v>0.19233333333333333</v>
      </c>
    </row>
    <row r="20" spans="1:9">
      <c r="A20" s="9">
        <v>18</v>
      </c>
      <c r="B20" s="43"/>
      <c r="C20" s="9" t="s">
        <v>25</v>
      </c>
      <c r="D20" s="11">
        <v>15.5</v>
      </c>
      <c r="E20" s="11">
        <v>15.196</v>
      </c>
      <c r="F20" s="11">
        <f t="shared" si="0"/>
        <v>0.30400000000000027</v>
      </c>
      <c r="G20" s="59" t="s">
        <v>150</v>
      </c>
      <c r="H20" s="58">
        <v>15.45</v>
      </c>
      <c r="I20" s="58">
        <f>(H20-E20)/2</f>
        <v>0.12699999999999978</v>
      </c>
    </row>
    <row r="21" spans="1:9">
      <c r="A21" s="9">
        <v>19</v>
      </c>
      <c r="B21" s="43"/>
      <c r="C21" s="9" t="s">
        <v>26</v>
      </c>
      <c r="D21" s="11">
        <v>16.100000000000001</v>
      </c>
      <c r="E21" s="11">
        <v>15.483000000000001</v>
      </c>
      <c r="F21" s="11">
        <f t="shared" si="0"/>
        <v>0.61700000000000088</v>
      </c>
      <c r="G21" s="62" t="s">
        <v>10</v>
      </c>
      <c r="H21" s="58">
        <v>16</v>
      </c>
      <c r="I21" s="58">
        <f>(H21-E21)/3</f>
        <v>0.17233333333333314</v>
      </c>
    </row>
    <row r="22" spans="1:9">
      <c r="A22" s="9">
        <v>20</v>
      </c>
      <c r="B22" s="43"/>
      <c r="C22" s="9" t="s">
        <v>27</v>
      </c>
      <c r="D22" s="11">
        <v>16.100000000000001</v>
      </c>
      <c r="E22" s="11">
        <v>15.749000000000001</v>
      </c>
      <c r="F22" s="11">
        <f t="shared" si="0"/>
        <v>0.35100000000000087</v>
      </c>
      <c r="G22" s="59" t="s">
        <v>150</v>
      </c>
      <c r="H22" s="58">
        <v>16</v>
      </c>
      <c r="I22" s="58">
        <f>(H22-E22)/2</f>
        <v>0.12549999999999972</v>
      </c>
    </row>
    <row r="23" spans="1:9">
      <c r="A23" s="9">
        <v>21</v>
      </c>
      <c r="B23" s="43"/>
      <c r="C23" s="9" t="s">
        <v>28</v>
      </c>
      <c r="D23" s="11">
        <v>16.600000000000001</v>
      </c>
      <c r="E23" s="11">
        <v>16.015999999999998</v>
      </c>
      <c r="F23" s="11">
        <f t="shared" si="0"/>
        <v>0.58400000000000318</v>
      </c>
      <c r="G23" s="62" t="s">
        <v>10</v>
      </c>
      <c r="H23" s="58">
        <v>16.55</v>
      </c>
      <c r="I23" s="58">
        <f>(H23-E23)/3</f>
        <v>0.17800000000000082</v>
      </c>
    </row>
    <row r="24" spans="1:9">
      <c r="A24" s="9">
        <v>22</v>
      </c>
      <c r="B24" s="43"/>
      <c r="C24" s="9" t="s">
        <v>29</v>
      </c>
      <c r="D24" s="11">
        <v>16.600000000000001</v>
      </c>
      <c r="E24" s="11">
        <v>16.331</v>
      </c>
      <c r="F24" s="11">
        <f t="shared" si="0"/>
        <v>0.2690000000000019</v>
      </c>
      <c r="G24" s="59" t="s">
        <v>150</v>
      </c>
      <c r="H24" s="58">
        <v>16.55</v>
      </c>
      <c r="I24" s="58">
        <f>(H24-E24)/2</f>
        <v>0.1095000000000006</v>
      </c>
    </row>
    <row r="25" spans="1:9">
      <c r="A25" s="9">
        <v>23</v>
      </c>
      <c r="B25" s="44"/>
      <c r="C25" s="9" t="s">
        <v>30</v>
      </c>
      <c r="D25" s="11">
        <v>17.100000000000001</v>
      </c>
      <c r="E25" s="11">
        <v>16.661000000000001</v>
      </c>
      <c r="F25" s="11">
        <f t="shared" si="0"/>
        <v>0.43900000000000006</v>
      </c>
      <c r="G25" s="17" t="s">
        <v>10</v>
      </c>
      <c r="H25" s="17"/>
      <c r="I25" s="11">
        <f>F25/3</f>
        <v>0.14633333333333334</v>
      </c>
    </row>
    <row r="26" spans="1:9">
      <c r="A26" s="18">
        <v>24</v>
      </c>
      <c r="B26" s="39" t="s">
        <v>102</v>
      </c>
      <c r="C26" s="18" t="s">
        <v>31</v>
      </c>
      <c r="D26" s="19">
        <v>17.600000000000001</v>
      </c>
      <c r="E26" s="19">
        <v>17.149999999999999</v>
      </c>
      <c r="F26" s="19">
        <f t="shared" si="0"/>
        <v>0.45000000000000284</v>
      </c>
      <c r="G26" s="20" t="s">
        <v>10</v>
      </c>
      <c r="H26" s="20"/>
      <c r="I26" s="19">
        <f>F26/3</f>
        <v>0.15000000000000094</v>
      </c>
    </row>
    <row r="27" spans="1:9">
      <c r="A27" s="18">
        <v>25</v>
      </c>
      <c r="B27" s="40"/>
      <c r="C27" s="18" t="s">
        <v>32</v>
      </c>
      <c r="D27" s="19">
        <v>17.600000000000001</v>
      </c>
      <c r="E27" s="19">
        <v>17.41</v>
      </c>
      <c r="F27" s="19">
        <f t="shared" si="0"/>
        <v>0.19000000000000128</v>
      </c>
      <c r="G27" s="64" t="s">
        <v>96</v>
      </c>
      <c r="H27" s="64"/>
      <c r="I27" s="60">
        <f>F27/1</f>
        <v>0.19000000000000128</v>
      </c>
    </row>
    <row r="28" spans="1:9">
      <c r="A28" s="18">
        <v>26</v>
      </c>
      <c r="B28" s="40"/>
      <c r="C28" s="18" t="s">
        <v>33</v>
      </c>
      <c r="D28" s="19">
        <v>18.05</v>
      </c>
      <c r="E28" s="19">
        <v>17.62</v>
      </c>
      <c r="F28" s="19">
        <f t="shared" si="0"/>
        <v>0.42999999999999972</v>
      </c>
      <c r="G28" s="20" t="s">
        <v>10</v>
      </c>
      <c r="H28" s="20"/>
      <c r="I28" s="19">
        <f>F28/3</f>
        <v>0.14333333333333323</v>
      </c>
    </row>
    <row r="29" spans="1:9">
      <c r="A29" s="18">
        <v>27</v>
      </c>
      <c r="B29" s="40"/>
      <c r="C29" s="18" t="s">
        <v>34</v>
      </c>
      <c r="D29" s="19">
        <v>18.05</v>
      </c>
      <c r="E29" s="19">
        <v>17.850000000000001</v>
      </c>
      <c r="F29" s="19">
        <f t="shared" si="0"/>
        <v>0.19999999999999929</v>
      </c>
      <c r="G29" s="61" t="s">
        <v>96</v>
      </c>
      <c r="H29" s="61"/>
      <c r="I29" s="60">
        <f>F29/1</f>
        <v>0.19999999999999929</v>
      </c>
    </row>
    <row r="30" spans="1:9">
      <c r="A30" s="18">
        <v>28</v>
      </c>
      <c r="B30" s="40"/>
      <c r="C30" s="18" t="s">
        <v>35</v>
      </c>
      <c r="D30" s="19">
        <v>18.5</v>
      </c>
      <c r="E30" s="19">
        <v>18.05</v>
      </c>
      <c r="F30" s="19">
        <f t="shared" si="0"/>
        <v>0.44999999999999929</v>
      </c>
      <c r="G30" s="20" t="s">
        <v>10</v>
      </c>
      <c r="H30" s="20"/>
      <c r="I30" s="19">
        <f>F30/3</f>
        <v>0.14999999999999977</v>
      </c>
    </row>
    <row r="31" spans="1:9">
      <c r="A31" s="18">
        <v>29</v>
      </c>
      <c r="B31" s="40"/>
      <c r="C31" s="18" t="s">
        <v>36</v>
      </c>
      <c r="D31" s="19">
        <v>18.5</v>
      </c>
      <c r="E31" s="19">
        <v>18.256</v>
      </c>
      <c r="F31" s="19">
        <f t="shared" si="0"/>
        <v>0.24399999999999977</v>
      </c>
      <c r="G31" s="21" t="s">
        <v>11</v>
      </c>
      <c r="H31" s="21"/>
      <c r="I31" s="19">
        <f>F31/2</f>
        <v>0.12199999999999989</v>
      </c>
    </row>
    <row r="32" spans="1:9">
      <c r="A32" s="18">
        <v>30</v>
      </c>
      <c r="B32" s="41"/>
      <c r="C32" s="18" t="s">
        <v>56</v>
      </c>
      <c r="D32" s="19">
        <v>19</v>
      </c>
      <c r="E32" s="19">
        <v>18.477</v>
      </c>
      <c r="F32" s="19">
        <f t="shared" si="0"/>
        <v>0.52299999999999969</v>
      </c>
      <c r="G32" s="20" t="s">
        <v>10</v>
      </c>
      <c r="H32" s="20"/>
      <c r="I32" s="19">
        <f>F32/3</f>
        <v>0.17433333333333323</v>
      </c>
    </row>
    <row r="33" spans="1:9">
      <c r="A33" s="24">
        <v>31</v>
      </c>
      <c r="B33" s="45" t="s">
        <v>103</v>
      </c>
      <c r="C33" s="24" t="s">
        <v>57</v>
      </c>
      <c r="D33" s="25">
        <v>19.55</v>
      </c>
      <c r="E33" s="25">
        <v>18.904</v>
      </c>
      <c r="F33" s="25">
        <f t="shared" si="0"/>
        <v>0.6460000000000008</v>
      </c>
      <c r="G33" s="26" t="s">
        <v>10</v>
      </c>
      <c r="H33" s="63">
        <v>19.399999999999999</v>
      </c>
      <c r="I33" s="63">
        <f>(H33-E33)/3</f>
        <v>0.16533333333333289</v>
      </c>
    </row>
    <row r="34" spans="1:9">
      <c r="A34" s="24">
        <v>32</v>
      </c>
      <c r="B34" s="46"/>
      <c r="C34" s="24" t="s">
        <v>58</v>
      </c>
      <c r="D34" s="25">
        <v>19.55</v>
      </c>
      <c r="E34" s="25">
        <v>19.079000000000001</v>
      </c>
      <c r="F34" s="25">
        <f t="shared" si="0"/>
        <v>0.47100000000000009</v>
      </c>
      <c r="G34" s="27" t="s">
        <v>11</v>
      </c>
      <c r="H34" s="63">
        <v>19.399999999999999</v>
      </c>
      <c r="I34" s="63">
        <f>(H34-E34)/2</f>
        <v>0.16049999999999898</v>
      </c>
    </row>
    <row r="35" spans="1:9" s="7" customFormat="1">
      <c r="A35" s="28">
        <v>33</v>
      </c>
      <c r="B35" s="46"/>
      <c r="C35" s="28" t="s">
        <v>59</v>
      </c>
      <c r="D35" s="29">
        <v>19.95</v>
      </c>
      <c r="E35" s="29">
        <v>19.282</v>
      </c>
      <c r="F35" s="29">
        <f t="shared" ref="F35:F66" si="1">D35-E35</f>
        <v>0.66799999999999926</v>
      </c>
      <c r="G35" s="30" t="s">
        <v>10</v>
      </c>
      <c r="H35" s="63">
        <v>19.8</v>
      </c>
      <c r="I35" s="63">
        <f>(H35-E35)/3</f>
        <v>0.17266666666666688</v>
      </c>
    </row>
    <row r="36" spans="1:9" s="7" customFormat="1">
      <c r="A36" s="28">
        <v>34</v>
      </c>
      <c r="B36" s="46"/>
      <c r="C36" s="28" t="s">
        <v>60</v>
      </c>
      <c r="D36" s="29">
        <v>19.95</v>
      </c>
      <c r="E36" s="29">
        <v>19.472000000000001</v>
      </c>
      <c r="F36" s="29">
        <f t="shared" si="1"/>
        <v>0.47799999999999798</v>
      </c>
      <c r="G36" s="30" t="s">
        <v>11</v>
      </c>
      <c r="H36" s="63">
        <v>19.8</v>
      </c>
      <c r="I36" s="63">
        <f>(H36-E36)/2</f>
        <v>0.1639999999999997</v>
      </c>
    </row>
    <row r="37" spans="1:9">
      <c r="A37" s="28">
        <v>35</v>
      </c>
      <c r="B37" s="46"/>
      <c r="C37" s="28" t="s">
        <v>61</v>
      </c>
      <c r="D37" s="25">
        <v>20.25</v>
      </c>
      <c r="E37" s="25">
        <v>19.696000000000002</v>
      </c>
      <c r="F37" s="25">
        <f t="shared" si="1"/>
        <v>0.55399999999999849</v>
      </c>
      <c r="G37" s="30" t="s">
        <v>10</v>
      </c>
      <c r="H37" s="63">
        <v>20.2</v>
      </c>
      <c r="I37" s="63">
        <f>(H37-E37)/3</f>
        <v>0.16799999999999926</v>
      </c>
    </row>
    <row r="38" spans="1:9">
      <c r="A38" s="28">
        <v>36</v>
      </c>
      <c r="B38" s="46"/>
      <c r="C38" s="28" t="s">
        <v>62</v>
      </c>
      <c r="D38" s="25">
        <v>20.25</v>
      </c>
      <c r="E38" s="25">
        <v>19.901</v>
      </c>
      <c r="F38" s="25">
        <f t="shared" si="1"/>
        <v>0.3490000000000002</v>
      </c>
      <c r="G38" s="30" t="s">
        <v>11</v>
      </c>
      <c r="H38" s="63">
        <v>20.2</v>
      </c>
      <c r="I38" s="63">
        <f>(H38-E38)/2</f>
        <v>0.14949999999999974</v>
      </c>
    </row>
    <row r="39" spans="1:9">
      <c r="A39" s="28">
        <v>37</v>
      </c>
      <c r="B39" s="46"/>
      <c r="C39" s="28" t="s">
        <v>64</v>
      </c>
      <c r="D39" s="25">
        <v>20.55</v>
      </c>
      <c r="E39" s="25">
        <v>20.106999999999999</v>
      </c>
      <c r="F39" s="25">
        <f t="shared" si="1"/>
        <v>0.44300000000000139</v>
      </c>
      <c r="G39" s="30" t="s">
        <v>10</v>
      </c>
      <c r="H39" s="63">
        <v>20.6</v>
      </c>
      <c r="I39" s="63">
        <f>(H39-E39)/3</f>
        <v>0.16433333333333403</v>
      </c>
    </row>
    <row r="40" spans="1:9">
      <c r="A40" s="28">
        <v>38</v>
      </c>
      <c r="B40" s="47"/>
      <c r="C40" s="28" t="s">
        <v>63</v>
      </c>
      <c r="D40" s="25">
        <v>20.55</v>
      </c>
      <c r="E40" s="25">
        <f>0.5*(20.324+20.19)</f>
        <v>20.257000000000001</v>
      </c>
      <c r="F40" s="25">
        <f t="shared" si="1"/>
        <v>0.29299999999999926</v>
      </c>
      <c r="G40" s="30" t="s">
        <v>11</v>
      </c>
      <c r="H40" s="63">
        <v>20.6</v>
      </c>
      <c r="I40" s="63">
        <f>(H40-E40)/2</f>
        <v>0.17149999999999999</v>
      </c>
    </row>
    <row r="41" spans="1:9">
      <c r="A41" s="22">
        <v>39</v>
      </c>
      <c r="B41" s="39" t="s">
        <v>104</v>
      </c>
      <c r="C41" s="22" t="s">
        <v>65</v>
      </c>
      <c r="D41" s="19">
        <v>20.9</v>
      </c>
      <c r="E41" s="19">
        <v>20.324000000000002</v>
      </c>
      <c r="F41" s="19">
        <f t="shared" si="1"/>
        <v>0.57599999999999696</v>
      </c>
      <c r="G41" s="61" t="s">
        <v>10</v>
      </c>
      <c r="H41" s="60">
        <v>20.8</v>
      </c>
      <c r="I41" s="60">
        <f>(H41-E41)/3</f>
        <v>0.15866666666666637</v>
      </c>
    </row>
    <row r="42" spans="1:9" s="6" customFormat="1">
      <c r="A42" s="31">
        <v>40</v>
      </c>
      <c r="B42" s="40"/>
      <c r="C42" s="31" t="s">
        <v>66</v>
      </c>
      <c r="D42" s="32">
        <v>21.05</v>
      </c>
      <c r="E42" s="32">
        <v>20.79</v>
      </c>
      <c r="F42" s="32">
        <f t="shared" si="1"/>
        <v>0.26000000000000156</v>
      </c>
      <c r="G42" s="61" t="s">
        <v>10</v>
      </c>
      <c r="H42" s="60">
        <v>21.25</v>
      </c>
      <c r="I42" s="60">
        <f>(H42-E42)/3</f>
        <v>0.15333333333333363</v>
      </c>
    </row>
    <row r="43" spans="1:9" s="6" customFormat="1">
      <c r="A43" s="31">
        <v>41</v>
      </c>
      <c r="B43" s="40"/>
      <c r="C43" s="31" t="s">
        <v>67</v>
      </c>
      <c r="D43" s="32">
        <v>21.05</v>
      </c>
      <c r="E43" s="32">
        <v>20.943000000000001</v>
      </c>
      <c r="F43" s="32">
        <f t="shared" si="1"/>
        <v>0.10699999999999932</v>
      </c>
      <c r="G43" s="61" t="s">
        <v>10</v>
      </c>
      <c r="H43" s="60">
        <v>21.45</v>
      </c>
      <c r="I43" s="60">
        <f>(H43-E43)/3</f>
        <v>0.16899999999999929</v>
      </c>
    </row>
    <row r="44" spans="1:9" s="6" customFormat="1" ht="15" customHeight="1">
      <c r="A44" s="31">
        <v>42</v>
      </c>
      <c r="B44" s="40"/>
      <c r="C44" s="31" t="s">
        <v>68</v>
      </c>
      <c r="D44" s="32">
        <v>21.5</v>
      </c>
      <c r="E44" s="32">
        <v>21.183</v>
      </c>
      <c r="F44" s="32">
        <f t="shared" si="1"/>
        <v>0.31700000000000017</v>
      </c>
      <c r="G44" s="61" t="s">
        <v>11</v>
      </c>
      <c r="H44" s="60">
        <v>21.45</v>
      </c>
      <c r="I44" s="60">
        <f>(H44-E44)/2</f>
        <v>0.13349999999999973</v>
      </c>
    </row>
    <row r="45" spans="1:9" s="6" customFormat="1">
      <c r="A45" s="31">
        <v>43</v>
      </c>
      <c r="B45" s="40"/>
      <c r="C45" s="31" t="s">
        <v>69</v>
      </c>
      <c r="D45" s="32">
        <v>21.5</v>
      </c>
      <c r="E45" s="32">
        <v>21.335999999999999</v>
      </c>
      <c r="F45" s="32">
        <f t="shared" si="1"/>
        <v>0.16400000000000148</v>
      </c>
      <c r="G45" s="61" t="s">
        <v>10</v>
      </c>
      <c r="H45" s="60">
        <v>21.85</v>
      </c>
      <c r="I45" s="60">
        <f>(H45-E45)/3</f>
        <v>0.17133333333333431</v>
      </c>
    </row>
    <row r="46" spans="1:9" s="6" customFormat="1">
      <c r="A46" s="31">
        <v>44</v>
      </c>
      <c r="B46" s="40"/>
      <c r="C46" s="31" t="s">
        <v>70</v>
      </c>
      <c r="D46" s="32">
        <v>21.9</v>
      </c>
      <c r="E46" s="32">
        <v>21.56</v>
      </c>
      <c r="F46" s="32">
        <f t="shared" si="1"/>
        <v>0.33999999999999986</v>
      </c>
      <c r="G46" s="61" t="s">
        <v>11</v>
      </c>
      <c r="H46" s="60">
        <v>21.85</v>
      </c>
      <c r="I46" s="60">
        <f>(H46-E46)/2</f>
        <v>0.14500000000000135</v>
      </c>
    </row>
    <row r="47" spans="1:9" s="6" customFormat="1">
      <c r="A47" s="31">
        <v>45</v>
      </c>
      <c r="B47" s="40"/>
      <c r="C47" s="31" t="s">
        <v>71</v>
      </c>
      <c r="D47" s="32">
        <v>21.9</v>
      </c>
      <c r="E47" s="32">
        <v>21.713000000000001</v>
      </c>
      <c r="F47" s="32">
        <f t="shared" si="1"/>
        <v>0.18699999999999761</v>
      </c>
      <c r="G47" s="61" t="s">
        <v>10</v>
      </c>
      <c r="H47" s="60">
        <v>22.2</v>
      </c>
      <c r="I47" s="60">
        <f>(H47-E47)/3</f>
        <v>0.16233333333333277</v>
      </c>
    </row>
    <row r="48" spans="1:9" s="7" customFormat="1">
      <c r="A48" s="22">
        <v>46</v>
      </c>
      <c r="B48" s="40"/>
      <c r="C48" s="22" t="s">
        <v>72</v>
      </c>
      <c r="D48" s="23">
        <v>22.25</v>
      </c>
      <c r="E48" s="23">
        <v>21.893999999999998</v>
      </c>
      <c r="F48" s="23">
        <f t="shared" si="1"/>
        <v>0.35600000000000165</v>
      </c>
      <c r="G48" s="61" t="s">
        <v>11</v>
      </c>
      <c r="H48" s="60">
        <v>22.2</v>
      </c>
      <c r="I48" s="60">
        <f>(H48-E48)/2</f>
        <v>0.15300000000000047</v>
      </c>
    </row>
    <row r="49" spans="1:10" s="7" customFormat="1">
      <c r="A49" s="22">
        <v>47</v>
      </c>
      <c r="B49" s="41"/>
      <c r="C49" s="22" t="s">
        <v>73</v>
      </c>
      <c r="D49" s="23">
        <v>22.25</v>
      </c>
      <c r="E49" s="23">
        <v>21.986000000000001</v>
      </c>
      <c r="F49" s="23">
        <f t="shared" si="1"/>
        <v>0.26399999999999935</v>
      </c>
      <c r="G49" s="61" t="s">
        <v>10</v>
      </c>
      <c r="H49" s="60">
        <v>22.45</v>
      </c>
      <c r="I49" s="60">
        <f>(H49-E49)/3</f>
        <v>0.1546666666666662</v>
      </c>
    </row>
    <row r="50" spans="1:10">
      <c r="A50" s="10">
        <v>48</v>
      </c>
      <c r="B50" s="42" t="s">
        <v>105</v>
      </c>
      <c r="C50" s="10" t="s">
        <v>74</v>
      </c>
      <c r="D50" s="11">
        <v>22.8</v>
      </c>
      <c r="E50" s="11">
        <v>22.239000000000001</v>
      </c>
      <c r="F50" s="11">
        <f t="shared" si="1"/>
        <v>0.56099999999999994</v>
      </c>
      <c r="G50" s="12" t="s">
        <v>10</v>
      </c>
      <c r="H50" s="12"/>
      <c r="I50" s="13">
        <f t="shared" ref="I50:I57" si="2">F50/3</f>
        <v>0.18699999999999997</v>
      </c>
    </row>
    <row r="51" spans="1:10">
      <c r="A51" s="10">
        <v>49</v>
      </c>
      <c r="B51" s="43"/>
      <c r="C51" s="10" t="s">
        <v>75</v>
      </c>
      <c r="D51" s="11">
        <v>22.8</v>
      </c>
      <c r="E51" s="11">
        <v>22.341000000000001</v>
      </c>
      <c r="F51" s="11">
        <f t="shared" si="1"/>
        <v>0.45899999999999963</v>
      </c>
      <c r="G51" s="12" t="s">
        <v>10</v>
      </c>
      <c r="H51" s="12"/>
      <c r="I51" s="13">
        <f t="shared" si="2"/>
        <v>0.15299999999999989</v>
      </c>
    </row>
    <row r="52" spans="1:10">
      <c r="A52" s="10">
        <v>50</v>
      </c>
      <c r="B52" s="43"/>
      <c r="C52" s="10" t="s">
        <v>76</v>
      </c>
      <c r="D52" s="11">
        <v>22.8</v>
      </c>
      <c r="E52" s="11">
        <v>22.331</v>
      </c>
      <c r="F52" s="11">
        <f t="shared" si="1"/>
        <v>0.46900000000000119</v>
      </c>
      <c r="G52" s="12" t="s">
        <v>10</v>
      </c>
      <c r="H52" s="12"/>
      <c r="I52" s="13">
        <f t="shared" si="2"/>
        <v>0.15633333333333374</v>
      </c>
    </row>
    <row r="53" spans="1:10">
      <c r="A53" s="10">
        <v>51</v>
      </c>
      <c r="B53" s="43"/>
      <c r="C53" s="10" t="s">
        <v>77</v>
      </c>
      <c r="D53" s="11">
        <v>22.8</v>
      </c>
      <c r="E53" s="11">
        <v>22.341999999999999</v>
      </c>
      <c r="F53" s="11">
        <f t="shared" si="1"/>
        <v>0.45800000000000196</v>
      </c>
      <c r="G53" s="12" t="s">
        <v>10</v>
      </c>
      <c r="H53" s="12"/>
      <c r="I53" s="11">
        <f t="shared" si="2"/>
        <v>0.15266666666666731</v>
      </c>
    </row>
    <row r="54" spans="1:10">
      <c r="A54" s="10">
        <v>52</v>
      </c>
      <c r="B54" s="43"/>
      <c r="C54" s="10" t="s">
        <v>78</v>
      </c>
      <c r="D54" s="11">
        <v>22.8</v>
      </c>
      <c r="E54" s="11">
        <v>22.324999999999999</v>
      </c>
      <c r="F54" s="11">
        <f t="shared" si="1"/>
        <v>0.47500000000000142</v>
      </c>
      <c r="G54" s="12" t="s">
        <v>10</v>
      </c>
      <c r="H54" s="12"/>
      <c r="I54" s="11">
        <f t="shared" si="2"/>
        <v>0.1583333333333338</v>
      </c>
    </row>
    <row r="55" spans="1:10">
      <c r="A55" s="10">
        <v>53</v>
      </c>
      <c r="B55" s="43"/>
      <c r="C55" s="10" t="s">
        <v>79</v>
      </c>
      <c r="D55" s="11">
        <v>22.8</v>
      </c>
      <c r="E55" s="11">
        <v>22.309000000000001</v>
      </c>
      <c r="F55" s="11">
        <f t="shared" si="1"/>
        <v>0.49099999999999966</v>
      </c>
      <c r="G55" s="12" t="s">
        <v>10</v>
      </c>
      <c r="H55" s="12"/>
      <c r="I55" s="11">
        <f t="shared" si="2"/>
        <v>0.16366666666666654</v>
      </c>
    </row>
    <row r="56" spans="1:10">
      <c r="A56" s="10">
        <v>54</v>
      </c>
      <c r="B56" s="43"/>
      <c r="C56" s="10" t="s">
        <v>80</v>
      </c>
      <c r="D56" s="11">
        <v>22.55</v>
      </c>
      <c r="E56" s="11">
        <v>22.239000000000001</v>
      </c>
      <c r="F56" s="11">
        <f t="shared" si="1"/>
        <v>0.31099999999999994</v>
      </c>
      <c r="G56" s="62" t="s">
        <v>10</v>
      </c>
      <c r="H56" s="58">
        <v>22.65</v>
      </c>
      <c r="I56" s="58">
        <f>(H56-E56)/3</f>
        <v>0.13699999999999926</v>
      </c>
    </row>
    <row r="57" spans="1:10">
      <c r="A57" s="10">
        <v>55</v>
      </c>
      <c r="B57" s="43"/>
      <c r="C57" s="10" t="s">
        <v>81</v>
      </c>
      <c r="D57" s="11">
        <v>22.55</v>
      </c>
      <c r="E57" s="11">
        <v>22.19</v>
      </c>
      <c r="F57" s="11">
        <f t="shared" si="1"/>
        <v>0.35999999999999943</v>
      </c>
      <c r="G57" s="62" t="s">
        <v>10</v>
      </c>
      <c r="H57" s="58">
        <v>22.65</v>
      </c>
      <c r="I57" s="58">
        <f>(H57-E57)/3</f>
        <v>0.15333333333333243</v>
      </c>
    </row>
    <row r="58" spans="1:10">
      <c r="A58" s="10">
        <v>56</v>
      </c>
      <c r="B58" s="43"/>
      <c r="C58" s="10" t="s">
        <v>82</v>
      </c>
      <c r="D58" s="11">
        <v>22.3</v>
      </c>
      <c r="E58" s="11">
        <v>22.091000000000001</v>
      </c>
      <c r="F58" s="11">
        <f t="shared" si="1"/>
        <v>0.20899999999999963</v>
      </c>
      <c r="G58" s="12" t="s">
        <v>11</v>
      </c>
      <c r="H58" s="58">
        <v>22.4</v>
      </c>
      <c r="I58" s="58">
        <f>(H58-E58)/2</f>
        <v>0.15449999999999875</v>
      </c>
    </row>
    <row r="59" spans="1:10">
      <c r="A59" s="10">
        <v>57</v>
      </c>
      <c r="B59" s="44"/>
      <c r="C59" s="10" t="s">
        <v>83</v>
      </c>
      <c r="D59" s="11">
        <v>22.3</v>
      </c>
      <c r="E59" s="11">
        <v>21.936</v>
      </c>
      <c r="F59" s="11">
        <f t="shared" si="1"/>
        <v>0.36400000000000077</v>
      </c>
      <c r="G59" s="12" t="s">
        <v>10</v>
      </c>
      <c r="H59" s="58">
        <v>22.4</v>
      </c>
      <c r="I59" s="58">
        <f>(H59-E59)/3</f>
        <v>0.1546666666666662</v>
      </c>
    </row>
    <row r="60" spans="1:10" s="6" customFormat="1">
      <c r="A60" s="31">
        <v>58</v>
      </c>
      <c r="B60" s="55" t="s">
        <v>106</v>
      </c>
      <c r="C60" s="31" t="s">
        <v>84</v>
      </c>
      <c r="D60" s="32">
        <v>21.75</v>
      </c>
      <c r="E60" s="32">
        <v>21.591000000000001</v>
      </c>
      <c r="F60" s="32">
        <f t="shared" si="1"/>
        <v>0.15899999999999892</v>
      </c>
      <c r="G60" s="61" t="s">
        <v>11</v>
      </c>
      <c r="H60" s="60">
        <v>21.9</v>
      </c>
      <c r="I60" s="60">
        <f>(H60-E60)/2</f>
        <v>0.15449999999999875</v>
      </c>
      <c r="J60" s="8"/>
    </row>
    <row r="61" spans="1:10" s="6" customFormat="1">
      <c r="A61" s="31">
        <v>59</v>
      </c>
      <c r="B61" s="56"/>
      <c r="C61" s="31" t="s">
        <v>85</v>
      </c>
      <c r="D61" s="32">
        <v>21.75</v>
      </c>
      <c r="E61" s="32">
        <v>21.41</v>
      </c>
      <c r="F61" s="32">
        <f t="shared" si="1"/>
        <v>0.33999999999999986</v>
      </c>
      <c r="G61" s="61" t="s">
        <v>10</v>
      </c>
      <c r="H61" s="60">
        <v>21.9</v>
      </c>
      <c r="I61" s="60">
        <f>(H61-E61)/3</f>
        <v>0.1633333333333328</v>
      </c>
      <c r="J61" s="8"/>
    </row>
    <row r="62" spans="1:10" s="6" customFormat="1">
      <c r="A62" s="31">
        <v>60</v>
      </c>
      <c r="B62" s="56"/>
      <c r="C62" s="31" t="s">
        <v>86</v>
      </c>
      <c r="D62" s="32">
        <v>21.25</v>
      </c>
      <c r="E62" s="32">
        <v>21.175000000000001</v>
      </c>
      <c r="F62" s="32">
        <f t="shared" si="1"/>
        <v>7.4999999999999289E-2</v>
      </c>
      <c r="G62" s="33" t="s">
        <v>94</v>
      </c>
      <c r="H62" s="32">
        <v>21.35</v>
      </c>
      <c r="I62" s="32">
        <f>(H62-E62)/1</f>
        <v>0.17500000000000071</v>
      </c>
    </row>
    <row r="63" spans="1:10" s="6" customFormat="1">
      <c r="A63" s="31">
        <v>61</v>
      </c>
      <c r="B63" s="56"/>
      <c r="C63" s="31" t="s">
        <v>87</v>
      </c>
      <c r="D63" s="32">
        <v>21.25</v>
      </c>
      <c r="E63" s="32">
        <v>20.884</v>
      </c>
      <c r="F63" s="32">
        <f t="shared" si="1"/>
        <v>0.36599999999999966</v>
      </c>
      <c r="G63" s="33" t="s">
        <v>94</v>
      </c>
      <c r="H63" s="32">
        <v>21.35</v>
      </c>
      <c r="I63" s="32">
        <f>(H63-E63)/3</f>
        <v>0.15533333333333368</v>
      </c>
    </row>
    <row r="64" spans="1:10">
      <c r="A64" s="31">
        <v>62</v>
      </c>
      <c r="B64" s="56"/>
      <c r="C64" s="31" t="s">
        <v>88</v>
      </c>
      <c r="D64" s="32">
        <v>20.65</v>
      </c>
      <c r="E64" s="32">
        <v>20.579000000000001</v>
      </c>
      <c r="F64" s="32">
        <f t="shared" si="1"/>
        <v>7.0999999999997954E-2</v>
      </c>
      <c r="G64" s="33" t="s">
        <v>95</v>
      </c>
      <c r="H64" s="32">
        <v>20.75</v>
      </c>
      <c r="I64" s="32">
        <f>(H64-E64)/1</f>
        <v>0.17099999999999937</v>
      </c>
    </row>
    <row r="65" spans="1:9">
      <c r="A65" s="31">
        <v>63</v>
      </c>
      <c r="B65" s="56"/>
      <c r="C65" s="31" t="s">
        <v>89</v>
      </c>
      <c r="D65" s="32">
        <v>20.65</v>
      </c>
      <c r="E65" s="32">
        <v>20.183</v>
      </c>
      <c r="F65" s="32">
        <f t="shared" si="1"/>
        <v>0.46699999999999875</v>
      </c>
      <c r="G65" s="33" t="s">
        <v>95</v>
      </c>
      <c r="H65" s="32">
        <v>20.75</v>
      </c>
      <c r="I65" s="32">
        <f>(H65-E65)/3</f>
        <v>0.18900000000000006</v>
      </c>
    </row>
    <row r="66" spans="1:9">
      <c r="A66" s="22">
        <v>64</v>
      </c>
      <c r="B66" s="56"/>
      <c r="C66" s="22" t="s">
        <v>90</v>
      </c>
      <c r="D66" s="19">
        <v>19.850000000000001</v>
      </c>
      <c r="E66" s="19">
        <v>19.728999999999999</v>
      </c>
      <c r="F66" s="19">
        <f t="shared" si="1"/>
        <v>0.12100000000000222</v>
      </c>
      <c r="G66" s="61" t="s">
        <v>96</v>
      </c>
      <c r="H66" s="60">
        <v>19.95</v>
      </c>
      <c r="I66" s="60">
        <f>(H66-E66)/1</f>
        <v>0.22100000000000009</v>
      </c>
    </row>
    <row r="67" spans="1:9">
      <c r="A67" s="22">
        <v>65</v>
      </c>
      <c r="B67" s="56"/>
      <c r="C67" s="22" t="s">
        <v>91</v>
      </c>
      <c r="D67" s="19">
        <v>19.850000000000001</v>
      </c>
      <c r="E67" s="19">
        <v>19.343</v>
      </c>
      <c r="F67" s="19">
        <f t="shared" ref="F67:F70" si="3">D67-E67</f>
        <v>0.50700000000000145</v>
      </c>
      <c r="G67" s="61" t="s">
        <v>10</v>
      </c>
      <c r="H67" s="60">
        <v>19.95</v>
      </c>
      <c r="I67" s="60">
        <f>(H67-E67)/3</f>
        <v>0.20233333333333312</v>
      </c>
    </row>
    <row r="68" spans="1:9">
      <c r="A68" s="22">
        <v>66</v>
      </c>
      <c r="B68" s="56"/>
      <c r="C68" s="22" t="s">
        <v>92</v>
      </c>
      <c r="D68" s="19">
        <v>19.149999999999999</v>
      </c>
      <c r="E68" s="19">
        <v>18.863</v>
      </c>
      <c r="F68" s="19">
        <f t="shared" si="3"/>
        <v>0.28699999999999903</v>
      </c>
      <c r="G68" s="61" t="s">
        <v>96</v>
      </c>
      <c r="H68" s="60">
        <v>19.05</v>
      </c>
      <c r="I68" s="60">
        <f>(H68-E68)/1</f>
        <v>0.18700000000000117</v>
      </c>
    </row>
    <row r="69" spans="1:9">
      <c r="A69" s="22">
        <v>67</v>
      </c>
      <c r="B69" s="57"/>
      <c r="C69" s="22" t="s">
        <v>93</v>
      </c>
      <c r="D69" s="19">
        <v>19.149999999999999</v>
      </c>
      <c r="E69" s="19">
        <v>18.443999999999999</v>
      </c>
      <c r="F69" s="19">
        <f t="shared" si="3"/>
        <v>0.70599999999999952</v>
      </c>
      <c r="G69" s="61" t="s">
        <v>10</v>
      </c>
      <c r="H69" s="60">
        <v>19.05</v>
      </c>
      <c r="I69" s="60">
        <f>(H69-E69)/3</f>
        <v>0.20200000000000054</v>
      </c>
    </row>
    <row r="70" spans="1:9" s="6" customFormat="1">
      <c r="A70" s="14">
        <v>68</v>
      </c>
      <c r="B70" s="48" t="s">
        <v>117</v>
      </c>
      <c r="C70" s="14" t="s">
        <v>107</v>
      </c>
      <c r="D70" s="15">
        <v>27.7</v>
      </c>
      <c r="E70" s="15">
        <v>27.303000000000001</v>
      </c>
      <c r="F70" s="15">
        <f t="shared" si="3"/>
        <v>0.39699999999999847</v>
      </c>
      <c r="G70" s="34" t="s">
        <v>138</v>
      </c>
      <c r="H70" s="15">
        <f>D70+0.1</f>
        <v>27.8</v>
      </c>
      <c r="I70" s="15">
        <f>(H70-E70)/3</f>
        <v>0.16566666666666663</v>
      </c>
    </row>
    <row r="71" spans="1:9" s="6" customFormat="1">
      <c r="A71" s="14">
        <v>69</v>
      </c>
      <c r="B71" s="49"/>
      <c r="C71" s="14" t="s">
        <v>108</v>
      </c>
      <c r="D71" s="15">
        <v>27.7</v>
      </c>
      <c r="E71" s="15">
        <v>27.576000000000001</v>
      </c>
      <c r="F71" s="15">
        <f t="shared" ref="F71:F79" si="4">D71-E71</f>
        <v>0.12399999999999878</v>
      </c>
      <c r="G71" s="34" t="s">
        <v>138</v>
      </c>
      <c r="H71" s="15">
        <f t="shared" ref="H71:H88" si="5">D71+0.1</f>
        <v>27.8</v>
      </c>
      <c r="I71" s="15">
        <f>(H71-E71)/1</f>
        <v>0.2240000000000002</v>
      </c>
    </row>
    <row r="72" spans="1:9" s="6" customFormat="1">
      <c r="A72" s="14">
        <v>70</v>
      </c>
      <c r="B72" s="49"/>
      <c r="C72" s="14" t="s">
        <v>109</v>
      </c>
      <c r="D72" s="15">
        <v>28.25</v>
      </c>
      <c r="E72" s="15">
        <v>27.858000000000001</v>
      </c>
      <c r="F72" s="15">
        <f t="shared" si="4"/>
        <v>0.39199999999999946</v>
      </c>
      <c r="G72" s="34" t="s">
        <v>139</v>
      </c>
      <c r="H72" s="15">
        <f t="shared" si="5"/>
        <v>28.35</v>
      </c>
      <c r="I72" s="15">
        <f>(H72-E72)/3</f>
        <v>0.16400000000000028</v>
      </c>
    </row>
    <row r="73" spans="1:9" s="6" customFormat="1">
      <c r="A73" s="14">
        <v>71</v>
      </c>
      <c r="B73" s="49"/>
      <c r="C73" s="14" t="s">
        <v>110</v>
      </c>
      <c r="D73" s="15">
        <v>28.25</v>
      </c>
      <c r="E73" s="15">
        <v>28.148</v>
      </c>
      <c r="F73" s="15">
        <f t="shared" si="4"/>
        <v>0.10200000000000031</v>
      </c>
      <c r="G73" s="34" t="s">
        <v>139</v>
      </c>
      <c r="H73" s="15">
        <f t="shared" si="5"/>
        <v>28.35</v>
      </c>
      <c r="I73" s="15">
        <f>(H73-E73)/1</f>
        <v>0.20200000000000173</v>
      </c>
    </row>
    <row r="74" spans="1:9" s="6" customFormat="1">
      <c r="A74" s="14">
        <v>72</v>
      </c>
      <c r="B74" s="49"/>
      <c r="C74" s="14" t="s">
        <v>111</v>
      </c>
      <c r="D74" s="15">
        <v>28.85</v>
      </c>
      <c r="E74" s="15">
        <v>28.451000000000001</v>
      </c>
      <c r="F74" s="15">
        <f t="shared" si="4"/>
        <v>0.39900000000000091</v>
      </c>
      <c r="G74" s="34" t="s">
        <v>140</v>
      </c>
      <c r="H74" s="15">
        <f t="shared" si="5"/>
        <v>28.950000000000003</v>
      </c>
      <c r="I74" s="15">
        <f>(H74-E74)/3</f>
        <v>0.16633333333333411</v>
      </c>
    </row>
    <row r="75" spans="1:9" s="6" customFormat="1">
      <c r="A75" s="14">
        <v>73</v>
      </c>
      <c r="B75" s="49"/>
      <c r="C75" s="14" t="s">
        <v>112</v>
      </c>
      <c r="D75" s="15">
        <v>28.85</v>
      </c>
      <c r="E75" s="15">
        <v>28.715</v>
      </c>
      <c r="F75" s="15">
        <f t="shared" si="4"/>
        <v>0.13500000000000156</v>
      </c>
      <c r="G75" s="34" t="s">
        <v>140</v>
      </c>
      <c r="H75" s="15">
        <f t="shared" si="5"/>
        <v>28.950000000000003</v>
      </c>
      <c r="I75" s="15">
        <f>(H75-E75)/1</f>
        <v>0.23500000000000298</v>
      </c>
    </row>
    <row r="76" spans="1:9" s="6" customFormat="1">
      <c r="A76" s="14">
        <v>74</v>
      </c>
      <c r="B76" s="49"/>
      <c r="C76" s="14" t="s">
        <v>113</v>
      </c>
      <c r="D76" s="15">
        <v>29.4</v>
      </c>
      <c r="E76" s="15">
        <v>28.983000000000001</v>
      </c>
      <c r="F76" s="15">
        <f t="shared" si="4"/>
        <v>0.41699999999999804</v>
      </c>
      <c r="G76" s="34" t="s">
        <v>141</v>
      </c>
      <c r="H76" s="15">
        <f t="shared" si="5"/>
        <v>29.5</v>
      </c>
      <c r="I76" s="15">
        <f>(H76-E76)/3</f>
        <v>0.17233333333333314</v>
      </c>
    </row>
    <row r="77" spans="1:9" s="6" customFormat="1">
      <c r="A77" s="14">
        <v>75</v>
      </c>
      <c r="B77" s="49"/>
      <c r="C77" s="14" t="s">
        <v>114</v>
      </c>
      <c r="D77" s="15">
        <v>29.4</v>
      </c>
      <c r="E77" s="15">
        <v>29.193999999999999</v>
      </c>
      <c r="F77" s="15">
        <f t="shared" si="4"/>
        <v>0.20599999999999952</v>
      </c>
      <c r="G77" s="34" t="s">
        <v>141</v>
      </c>
      <c r="H77" s="15">
        <f t="shared" si="5"/>
        <v>29.5</v>
      </c>
      <c r="I77" s="15">
        <f>(H77-E77)/2</f>
        <v>0.15300000000000047</v>
      </c>
    </row>
    <row r="78" spans="1:9" s="6" customFormat="1">
      <c r="A78" s="14">
        <v>76</v>
      </c>
      <c r="B78" s="49"/>
      <c r="C78" s="14" t="s">
        <v>115</v>
      </c>
      <c r="D78" s="15">
        <v>29.95</v>
      </c>
      <c r="E78" s="15">
        <v>29.532</v>
      </c>
      <c r="F78" s="15">
        <f t="shared" si="4"/>
        <v>0.41799999999999926</v>
      </c>
      <c r="G78" s="34" t="s">
        <v>142</v>
      </c>
      <c r="H78" s="15">
        <f t="shared" si="5"/>
        <v>30.05</v>
      </c>
      <c r="I78" s="15">
        <f>(H78-E78)/3</f>
        <v>0.17266666666666688</v>
      </c>
    </row>
    <row r="79" spans="1:9" s="6" customFormat="1">
      <c r="A79" s="14">
        <v>77</v>
      </c>
      <c r="B79" s="50"/>
      <c r="C79" s="14" t="s">
        <v>116</v>
      </c>
      <c r="D79" s="15">
        <v>29.95</v>
      </c>
      <c r="E79" s="15">
        <v>29.847000000000001</v>
      </c>
      <c r="F79" s="15">
        <f t="shared" si="4"/>
        <v>0.10299999999999798</v>
      </c>
      <c r="G79" s="34" t="s">
        <v>142</v>
      </c>
      <c r="H79" s="15">
        <f t="shared" si="5"/>
        <v>30.05</v>
      </c>
      <c r="I79" s="15">
        <f>(H79-E79)/1</f>
        <v>0.2029999999999994</v>
      </c>
    </row>
    <row r="80" spans="1:9" s="6" customFormat="1">
      <c r="A80" s="31">
        <v>78</v>
      </c>
      <c r="B80" s="51" t="s">
        <v>118</v>
      </c>
      <c r="C80" s="31" t="s">
        <v>119</v>
      </c>
      <c r="D80" s="32">
        <v>26.85</v>
      </c>
      <c r="E80" s="32">
        <v>26.789000000000001</v>
      </c>
      <c r="F80" s="32">
        <f>D80-E80</f>
        <v>6.0999999999999943E-2</v>
      </c>
      <c r="G80" s="35" t="s">
        <v>145</v>
      </c>
      <c r="H80" s="32">
        <f t="shared" si="5"/>
        <v>26.950000000000003</v>
      </c>
      <c r="I80" s="32">
        <f t="shared" ref="I80:I88" si="6">(H80-E80)/1</f>
        <v>0.16100000000000136</v>
      </c>
    </row>
    <row r="81" spans="1:9" s="6" customFormat="1">
      <c r="A81" s="31">
        <v>79</v>
      </c>
      <c r="B81" s="52"/>
      <c r="C81" s="31" t="s">
        <v>120</v>
      </c>
      <c r="D81" s="32">
        <v>26.85</v>
      </c>
      <c r="E81" s="32">
        <v>26.457999999999998</v>
      </c>
      <c r="F81" s="32">
        <f t="shared" ref="F81:F88" si="7">D81-E81</f>
        <v>0.39200000000000301</v>
      </c>
      <c r="G81" s="35" t="s">
        <v>145</v>
      </c>
      <c r="H81" s="32">
        <f t="shared" si="5"/>
        <v>26.950000000000003</v>
      </c>
      <c r="I81" s="32">
        <f>(H81-E81)/3</f>
        <v>0.16400000000000148</v>
      </c>
    </row>
    <row r="82" spans="1:9" s="6" customFormat="1">
      <c r="A82" s="31">
        <v>80</v>
      </c>
      <c r="B82" s="52"/>
      <c r="C82" s="31" t="s">
        <v>121</v>
      </c>
      <c r="D82" s="32">
        <v>26.25</v>
      </c>
      <c r="E82" s="32">
        <v>26.145</v>
      </c>
      <c r="F82" s="32">
        <f t="shared" si="7"/>
        <v>0.10500000000000043</v>
      </c>
      <c r="G82" s="35" t="s">
        <v>146</v>
      </c>
      <c r="H82" s="32">
        <f t="shared" si="5"/>
        <v>26.35</v>
      </c>
      <c r="I82" s="32">
        <f t="shared" si="6"/>
        <v>0.20500000000000185</v>
      </c>
    </row>
    <row r="83" spans="1:9" s="6" customFormat="1">
      <c r="A83" s="31">
        <v>81</v>
      </c>
      <c r="B83" s="52"/>
      <c r="C83" s="31" t="s">
        <v>122</v>
      </c>
      <c r="D83" s="32">
        <v>26.25</v>
      </c>
      <c r="E83" s="32">
        <v>25.852</v>
      </c>
      <c r="F83" s="32">
        <f t="shared" si="7"/>
        <v>0.39799999999999969</v>
      </c>
      <c r="G83" s="35" t="s">
        <v>146</v>
      </c>
      <c r="H83" s="32">
        <f t="shared" si="5"/>
        <v>26.35</v>
      </c>
      <c r="I83" s="32">
        <f>(H83-E83)/3</f>
        <v>0.16600000000000037</v>
      </c>
    </row>
    <row r="84" spans="1:9" s="6" customFormat="1">
      <c r="A84" s="31">
        <v>82</v>
      </c>
      <c r="B84" s="52"/>
      <c r="C84" s="31" t="s">
        <v>123</v>
      </c>
      <c r="D84" s="32">
        <v>25.7</v>
      </c>
      <c r="E84" s="32">
        <v>25.556999999999999</v>
      </c>
      <c r="F84" s="32">
        <f t="shared" si="7"/>
        <v>0.14300000000000068</v>
      </c>
      <c r="G84" s="35" t="s">
        <v>147</v>
      </c>
      <c r="H84" s="32">
        <f t="shared" si="5"/>
        <v>25.8</v>
      </c>
      <c r="I84" s="32">
        <f t="shared" si="6"/>
        <v>0.2430000000000021</v>
      </c>
    </row>
    <row r="85" spans="1:9" s="6" customFormat="1">
      <c r="A85" s="31">
        <v>83</v>
      </c>
      <c r="B85" s="52"/>
      <c r="C85" s="31" t="s">
        <v>124</v>
      </c>
      <c r="D85" s="32">
        <v>25.7</v>
      </c>
      <c r="E85" s="32">
        <v>25.257000000000001</v>
      </c>
      <c r="F85" s="32">
        <f t="shared" si="7"/>
        <v>0.44299999999999784</v>
      </c>
      <c r="G85" s="35" t="s">
        <v>147</v>
      </c>
      <c r="H85" s="32">
        <f t="shared" si="5"/>
        <v>25.8</v>
      </c>
      <c r="I85" s="32">
        <f>(H85-E85)/3</f>
        <v>0.18099999999999974</v>
      </c>
    </row>
    <row r="86" spans="1:9" s="6" customFormat="1">
      <c r="A86" s="31">
        <v>84</v>
      </c>
      <c r="B86" s="52"/>
      <c r="C86" s="31" t="s">
        <v>125</v>
      </c>
      <c r="D86" s="32">
        <v>25.1</v>
      </c>
      <c r="E86" s="32">
        <v>25.007999999999999</v>
      </c>
      <c r="F86" s="32">
        <f t="shared" si="7"/>
        <v>9.2000000000002302E-2</v>
      </c>
      <c r="G86" s="35" t="s">
        <v>148</v>
      </c>
      <c r="H86" s="32">
        <f t="shared" si="5"/>
        <v>25.200000000000003</v>
      </c>
      <c r="I86" s="32">
        <f t="shared" si="6"/>
        <v>0.19200000000000372</v>
      </c>
    </row>
    <row r="87" spans="1:9" s="6" customFormat="1">
      <c r="A87" s="31">
        <v>85</v>
      </c>
      <c r="B87" s="52"/>
      <c r="C87" s="31" t="s">
        <v>126</v>
      </c>
      <c r="D87" s="32">
        <v>25.1</v>
      </c>
      <c r="E87" s="32">
        <v>24.716000000000001</v>
      </c>
      <c r="F87" s="32">
        <f t="shared" si="7"/>
        <v>0.38400000000000034</v>
      </c>
      <c r="G87" s="35" t="s">
        <v>148</v>
      </c>
      <c r="H87" s="32">
        <f t="shared" si="5"/>
        <v>25.200000000000003</v>
      </c>
      <c r="I87" s="32">
        <f>(H87-E87)/3</f>
        <v>0.16133333333333391</v>
      </c>
    </row>
    <row r="88" spans="1:9" s="6" customFormat="1">
      <c r="A88" s="31">
        <v>86</v>
      </c>
      <c r="B88" s="52"/>
      <c r="C88" s="31" t="s">
        <v>127</v>
      </c>
      <c r="D88" s="32">
        <v>24.55</v>
      </c>
      <c r="E88" s="32">
        <v>24.376999999999999</v>
      </c>
      <c r="F88" s="32">
        <f t="shared" si="7"/>
        <v>0.17300000000000182</v>
      </c>
      <c r="G88" s="35" t="s">
        <v>149</v>
      </c>
      <c r="H88" s="32">
        <f t="shared" si="5"/>
        <v>24.650000000000002</v>
      </c>
      <c r="I88" s="32">
        <f t="shared" si="6"/>
        <v>0.27300000000000324</v>
      </c>
    </row>
    <row r="89" spans="1:9" s="6" customFormat="1">
      <c r="A89" s="31">
        <v>87</v>
      </c>
      <c r="B89" s="53"/>
      <c r="C89" s="31" t="s">
        <v>128</v>
      </c>
      <c r="D89" s="32">
        <v>24.55</v>
      </c>
      <c r="E89" s="32"/>
      <c r="F89" s="32"/>
      <c r="G89" s="35" t="s">
        <v>149</v>
      </c>
      <c r="H89" s="32"/>
      <c r="I89" s="32"/>
    </row>
    <row r="90" spans="1:9" s="7" customFormat="1">
      <c r="A90" s="10">
        <v>88</v>
      </c>
      <c r="B90" s="54" t="s">
        <v>129</v>
      </c>
      <c r="C90" s="10" t="s">
        <v>130</v>
      </c>
      <c r="D90" s="13">
        <v>32.950000000000003</v>
      </c>
      <c r="E90" s="13">
        <v>32.844000000000001</v>
      </c>
      <c r="F90" s="13">
        <f t="shared" ref="F90:F97" si="8">D90-E90</f>
        <v>0.10600000000000165</v>
      </c>
      <c r="G90" s="12" t="s">
        <v>96</v>
      </c>
      <c r="H90" s="58">
        <v>33.049999999999997</v>
      </c>
      <c r="I90" s="58">
        <f>(H90-E90)/1</f>
        <v>0.20599999999999596</v>
      </c>
    </row>
    <row r="91" spans="1:9" s="7" customFormat="1">
      <c r="A91" s="10">
        <v>89</v>
      </c>
      <c r="B91" s="54"/>
      <c r="C91" s="10" t="s">
        <v>131</v>
      </c>
      <c r="D91" s="13">
        <v>32.950000000000003</v>
      </c>
      <c r="E91" s="13">
        <v>32.481000000000002</v>
      </c>
      <c r="F91" s="13">
        <f t="shared" si="8"/>
        <v>0.46900000000000119</v>
      </c>
      <c r="G91" s="12" t="s">
        <v>10</v>
      </c>
      <c r="H91" s="58">
        <v>33.049999999999997</v>
      </c>
      <c r="I91" s="58">
        <f>(H91-E91)/3</f>
        <v>0.18966666666666518</v>
      </c>
    </row>
    <row r="92" spans="1:9" s="7" customFormat="1">
      <c r="A92" s="10">
        <v>90</v>
      </c>
      <c r="B92" s="54"/>
      <c r="C92" s="10" t="s">
        <v>132</v>
      </c>
      <c r="D92" s="13">
        <v>32.299999999999997</v>
      </c>
      <c r="E92" s="13">
        <v>32.133000000000003</v>
      </c>
      <c r="F92" s="13">
        <f t="shared" si="8"/>
        <v>0.16699999999999449</v>
      </c>
      <c r="G92" s="12" t="s">
        <v>96</v>
      </c>
      <c r="H92" s="13"/>
      <c r="I92" s="13">
        <f>F92/1</f>
        <v>0.16699999999999449</v>
      </c>
    </row>
    <row r="93" spans="1:9" s="7" customFormat="1">
      <c r="A93" s="10">
        <v>91</v>
      </c>
      <c r="B93" s="54"/>
      <c r="C93" s="10" t="s">
        <v>133</v>
      </c>
      <c r="D93" s="13">
        <v>32.299999999999997</v>
      </c>
      <c r="E93" s="13">
        <v>31.780999999999999</v>
      </c>
      <c r="F93" s="13">
        <f t="shared" si="8"/>
        <v>0.51899999999999835</v>
      </c>
      <c r="G93" s="12" t="s">
        <v>10</v>
      </c>
      <c r="H93" s="13"/>
      <c r="I93" s="13">
        <f>F93/3</f>
        <v>0.17299999999999946</v>
      </c>
    </row>
    <row r="94" spans="1:9" s="7" customFormat="1">
      <c r="A94" s="10">
        <v>92</v>
      </c>
      <c r="B94" s="54"/>
      <c r="C94" s="10" t="s">
        <v>134</v>
      </c>
      <c r="D94" s="13">
        <v>31.65</v>
      </c>
      <c r="E94" s="13">
        <v>31.465</v>
      </c>
      <c r="F94" s="13">
        <f t="shared" si="8"/>
        <v>0.18499999999999872</v>
      </c>
      <c r="G94" s="12" t="s">
        <v>96</v>
      </c>
      <c r="H94" s="13"/>
      <c r="I94" s="13">
        <f>F94/1</f>
        <v>0.18499999999999872</v>
      </c>
    </row>
    <row r="95" spans="1:9" s="7" customFormat="1">
      <c r="A95" s="10">
        <v>93</v>
      </c>
      <c r="B95" s="54"/>
      <c r="C95" s="10" t="s">
        <v>135</v>
      </c>
      <c r="D95" s="13">
        <v>31.65</v>
      </c>
      <c r="E95" s="13">
        <v>31.105</v>
      </c>
      <c r="F95" s="13">
        <f t="shared" si="8"/>
        <v>0.54499999999999815</v>
      </c>
      <c r="G95" s="12" t="s">
        <v>10</v>
      </c>
      <c r="H95" s="13"/>
      <c r="I95" s="13">
        <f>F95/3</f>
        <v>0.18166666666666606</v>
      </c>
    </row>
    <row r="96" spans="1:9" s="7" customFormat="1">
      <c r="A96" s="10">
        <v>94</v>
      </c>
      <c r="B96" s="54"/>
      <c r="C96" s="10" t="s">
        <v>136</v>
      </c>
      <c r="D96" s="13">
        <v>31</v>
      </c>
      <c r="E96" s="13">
        <v>30.86</v>
      </c>
      <c r="F96" s="13">
        <f t="shared" si="8"/>
        <v>0.14000000000000057</v>
      </c>
      <c r="G96" s="62" t="s">
        <v>10</v>
      </c>
      <c r="H96" s="58">
        <v>31.3</v>
      </c>
      <c r="I96" s="58">
        <f>(H96-E96)/3</f>
        <v>0.14666666666666708</v>
      </c>
    </row>
    <row r="97" spans="1:9" s="6" customFormat="1">
      <c r="A97" s="14">
        <v>95</v>
      </c>
      <c r="B97" s="54"/>
      <c r="C97" s="14" t="s">
        <v>137</v>
      </c>
      <c r="D97" s="15">
        <v>31</v>
      </c>
      <c r="E97" s="15">
        <v>30.042000000000002</v>
      </c>
      <c r="F97" s="15">
        <f t="shared" si="8"/>
        <v>0.95799999999999841</v>
      </c>
      <c r="G97" s="62" t="s">
        <v>10</v>
      </c>
      <c r="H97" s="58">
        <v>30.5</v>
      </c>
      <c r="I97" s="58">
        <f>(H97-E97)/3</f>
        <v>0.15266666666666615</v>
      </c>
    </row>
  </sheetData>
  <mergeCells count="11">
    <mergeCell ref="B70:B79"/>
    <mergeCell ref="B80:B89"/>
    <mergeCell ref="B90:B97"/>
    <mergeCell ref="B41:B49"/>
    <mergeCell ref="B50:B59"/>
    <mergeCell ref="B60:B69"/>
    <mergeCell ref="B3:B9"/>
    <mergeCell ref="B10:B18"/>
    <mergeCell ref="B19:B25"/>
    <mergeCell ref="B26:B32"/>
    <mergeCell ref="B33:B40"/>
  </mergeCells>
  <phoneticPr fontId="5" type="noConversion"/>
  <pageMargins left="0.7" right="0.7" top="0.75" bottom="0.75" header="0.3" footer="0.3"/>
  <pageSetup paperSize="9" orientation="portrait" r:id="rId1"/>
  <ignoredErrors>
    <ignoredError sqref="I28 I62:I63 I71:I79 I81:I87 I92:I95 I30:I3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E9F4-47F8-4ABC-A158-3DEB05D2AF4E}">
  <dimension ref="C4:D14"/>
  <sheetViews>
    <sheetView zoomScale="145" zoomScaleNormal="145" workbookViewId="0">
      <selection activeCell="D14" sqref="D14"/>
    </sheetView>
  </sheetViews>
  <sheetFormatPr defaultRowHeight="14.25"/>
  <cols>
    <col min="3" max="3" width="29.125" customWidth="1"/>
    <col min="4" max="4" width="35.625" customWidth="1"/>
  </cols>
  <sheetData>
    <row r="4" spans="3:4">
      <c r="C4" t="s">
        <v>38</v>
      </c>
      <c r="D4" t="s">
        <v>40</v>
      </c>
    </row>
    <row r="5" spans="3:4">
      <c r="C5" t="s">
        <v>39</v>
      </c>
      <c r="D5" t="s">
        <v>37</v>
      </c>
    </row>
    <row r="6" spans="3:4">
      <c r="C6" t="s">
        <v>41</v>
      </c>
      <c r="D6" t="s">
        <v>42</v>
      </c>
    </row>
    <row r="7" spans="3:4">
      <c r="C7" t="s">
        <v>43</v>
      </c>
      <c r="D7" t="s">
        <v>44</v>
      </c>
    </row>
    <row r="8" spans="3:4">
      <c r="C8" t="s">
        <v>45</v>
      </c>
      <c r="D8" t="s">
        <v>46</v>
      </c>
    </row>
    <row r="10" spans="3:4">
      <c r="C10" t="s">
        <v>47</v>
      </c>
      <c r="D10" t="s">
        <v>48</v>
      </c>
    </row>
    <row r="11" spans="3:4">
      <c r="C11" t="s">
        <v>49</v>
      </c>
      <c r="D11" t="s">
        <v>50</v>
      </c>
    </row>
    <row r="12" spans="3:4">
      <c r="C12" t="s">
        <v>51</v>
      </c>
      <c r="D12" t="s">
        <v>52</v>
      </c>
    </row>
    <row r="13" spans="3:4">
      <c r="C13" t="s">
        <v>54</v>
      </c>
      <c r="D13" t="s">
        <v>53</v>
      </c>
    </row>
    <row r="14" spans="3:4">
      <c r="C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Văn Phú (VH-KXD-MN)</dc:creator>
  <cp:lastModifiedBy>Đồng Văn Khoa (VH-VTK-MB)</cp:lastModifiedBy>
  <dcterms:created xsi:type="dcterms:W3CDTF">2026-06-16T07:52:27Z</dcterms:created>
  <dcterms:modified xsi:type="dcterms:W3CDTF">2026-06-22T13:28:26Z</dcterms:modified>
</cp:coreProperties>
</file>